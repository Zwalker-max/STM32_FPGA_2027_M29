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ile\学习\电赛培训\STM32_2026\Data\硬件标定数据\"/>
    </mc:Choice>
  </mc:AlternateContent>
  <xr:revisionPtr revIDLastSave="0" documentId="13_ncr:1_{E494D86B-3CE3-4DFF-858A-5C2DA5D49E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" i="1" l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3" i="1"/>
</calcChain>
</file>

<file path=xl/sharedStrings.xml><?xml version="1.0" encoding="utf-8"?>
<sst xmlns="http://schemas.openxmlformats.org/spreadsheetml/2006/main" count="75" uniqueCount="16">
  <si>
    <t>OUT(VPP)/mv</t>
    <phoneticPr fontId="1" type="noConversion"/>
  </si>
  <si>
    <t>VIN(VPP)/mv</t>
    <phoneticPr fontId="1" type="noConversion"/>
  </si>
  <si>
    <t>DAC/mv</t>
    <phoneticPr fontId="1" type="noConversion"/>
  </si>
  <si>
    <t>High VIN（正弦100Khz）</t>
    <phoneticPr fontId="1" type="noConversion"/>
  </si>
  <si>
    <t>Mid VIN（正弦100Khz）</t>
    <phoneticPr fontId="1" type="noConversion"/>
  </si>
  <si>
    <t>Low VIN(正弦100Khz)</t>
    <phoneticPr fontId="1" type="noConversion"/>
  </si>
  <si>
    <t>DAC/V</t>
    <phoneticPr fontId="1" type="noConversion"/>
  </si>
  <si>
    <t>备注1</t>
    <phoneticPr fontId="1" type="noConversion"/>
  </si>
  <si>
    <t>波形畸变严重</t>
    <phoneticPr fontId="1" type="noConversion"/>
  </si>
  <si>
    <t>备注2</t>
    <phoneticPr fontId="1" type="noConversion"/>
  </si>
  <si>
    <t>备注3</t>
    <phoneticPr fontId="1" type="noConversion"/>
  </si>
  <si>
    <t>波形畸变较为严重</t>
    <phoneticPr fontId="1" type="noConversion"/>
  </si>
  <si>
    <t>消顶</t>
    <phoneticPr fontId="1" type="noConversion"/>
  </si>
  <si>
    <t>NON</t>
    <phoneticPr fontId="1" type="noConversion"/>
  </si>
  <si>
    <t>理论放大倍数</t>
    <phoneticPr fontId="1" type="noConversion"/>
  </si>
  <si>
    <t>实际放大倍数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</si>
</sst>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N26" sqref="N26"/>
    </sheetView>
  </sheetViews>
  <sheetFormatPr defaultRowHeight="13.8" x14ac:dyDescent="0.25"/>
  <cols>
    <col min="1" max="14" width="16.33203125" customWidth="1"/>
    <col min="15" max="16" width="16.33203125" style="12" customWidth="1"/>
    <col min="17" max="18" width="16.33203125" style="11" customWidth="1"/>
    <col min="19" max="20" width="16.33203125" style="12" customWidth="1"/>
  </cols>
  <sheetData>
    <row r="1" spans="1:20" x14ac:dyDescent="0.25">
      <c r="A1" s="6" t="s">
        <v>5</v>
      </c>
      <c r="B1" s="7"/>
      <c r="C1" s="8"/>
      <c r="D1" s="2" t="s">
        <v>7</v>
      </c>
      <c r="E1" s="2" t="s">
        <v>14</v>
      </c>
      <c r="F1" s="2" t="s">
        <v>15</v>
      </c>
      <c r="H1" s="6" t="s">
        <v>4</v>
      </c>
      <c r="I1" s="7"/>
      <c r="J1" s="8"/>
      <c r="K1" s="2" t="s">
        <v>9</v>
      </c>
      <c r="L1" s="2" t="s">
        <v>14</v>
      </c>
      <c r="M1" s="2" t="s">
        <v>15</v>
      </c>
      <c r="O1" s="6" t="s">
        <v>3</v>
      </c>
      <c r="P1" s="7"/>
      <c r="Q1" s="8"/>
      <c r="R1" s="2" t="s">
        <v>10</v>
      </c>
      <c r="S1" s="2" t="s">
        <v>14</v>
      </c>
      <c r="T1" s="2" t="s">
        <v>15</v>
      </c>
    </row>
    <row r="2" spans="1:20" x14ac:dyDescent="0.25">
      <c r="A2" s="1" t="s">
        <v>1</v>
      </c>
      <c r="B2" s="1" t="s">
        <v>6</v>
      </c>
      <c r="C2" s="1" t="s">
        <v>0</v>
      </c>
      <c r="D2" s="4"/>
      <c r="E2" s="4"/>
      <c r="F2" s="4"/>
      <c r="H2" s="1" t="s">
        <v>1</v>
      </c>
      <c r="I2" s="1" t="s">
        <v>2</v>
      </c>
      <c r="J2" s="1" t="s">
        <v>0</v>
      </c>
      <c r="K2" s="4"/>
      <c r="L2" s="4"/>
      <c r="M2" s="4"/>
      <c r="O2" s="1" t="s">
        <v>1</v>
      </c>
      <c r="P2" s="1" t="s">
        <v>2</v>
      </c>
      <c r="Q2" s="1" t="s">
        <v>0</v>
      </c>
      <c r="R2" s="4"/>
      <c r="S2" s="4"/>
      <c r="T2" s="4"/>
    </row>
    <row r="3" spans="1:20" x14ac:dyDescent="0.25">
      <c r="A3" s="2">
        <v>30</v>
      </c>
      <c r="B3" s="1">
        <v>0.1</v>
      </c>
      <c r="C3" s="1">
        <v>1410</v>
      </c>
      <c r="D3" s="1"/>
      <c r="E3" s="5">
        <f>25*(2-B3)</f>
        <v>47.5</v>
      </c>
      <c r="F3" s="9">
        <f>C3/30</f>
        <v>47</v>
      </c>
      <c r="H3" s="2">
        <v>300</v>
      </c>
      <c r="I3" s="1">
        <v>0.1</v>
      </c>
      <c r="J3" s="5" t="s">
        <v>13</v>
      </c>
      <c r="K3" s="1" t="s">
        <v>12</v>
      </c>
      <c r="L3" s="5">
        <f>25*(2-I3)</f>
        <v>47.5</v>
      </c>
      <c r="M3" s="9" t="e">
        <f>J3/300</f>
        <v>#VALUE!</v>
      </c>
      <c r="O3" s="2">
        <v>1000</v>
      </c>
      <c r="P3" s="1">
        <v>0.1</v>
      </c>
      <c r="Q3" s="1" t="s">
        <v>13</v>
      </c>
      <c r="R3" s="1" t="s">
        <v>12</v>
      </c>
      <c r="S3" s="1">
        <f>25*(2-P3)</f>
        <v>47.5</v>
      </c>
      <c r="T3" s="10" t="e">
        <f>Q3/1000</f>
        <v>#VALUE!</v>
      </c>
    </row>
    <row r="4" spans="1:20" x14ac:dyDescent="0.25">
      <c r="A4" s="3"/>
      <c r="B4" s="1">
        <v>0.2</v>
      </c>
      <c r="C4" s="1">
        <v>1320</v>
      </c>
      <c r="D4" s="1"/>
      <c r="E4" s="5">
        <f t="shared" ref="E4:E21" si="0">25*(2-B4)</f>
        <v>45</v>
      </c>
      <c r="F4" s="9">
        <f t="shared" ref="F4:F21" si="1">C4/30</f>
        <v>44</v>
      </c>
      <c r="H4" s="3"/>
      <c r="I4" s="1">
        <v>0.2</v>
      </c>
      <c r="J4" s="5" t="s">
        <v>13</v>
      </c>
      <c r="K4" s="1" t="s">
        <v>12</v>
      </c>
      <c r="L4" s="5">
        <f t="shared" ref="L4:L21" si="2">25*(2-I4)</f>
        <v>45</v>
      </c>
      <c r="M4" s="9" t="e">
        <f t="shared" ref="M4:M21" si="3">J4/300</f>
        <v>#VALUE!</v>
      </c>
      <c r="O4" s="3"/>
      <c r="P4" s="1">
        <v>0.2</v>
      </c>
      <c r="Q4" s="1" t="s">
        <v>13</v>
      </c>
      <c r="R4" s="1" t="s">
        <v>12</v>
      </c>
      <c r="S4" s="1">
        <f t="shared" ref="S4:S21" si="4">25*(2-P4)</f>
        <v>45</v>
      </c>
      <c r="T4" s="10" t="e">
        <f t="shared" ref="T4:T21" si="5">Q4/1000</f>
        <v>#VALUE!</v>
      </c>
    </row>
    <row r="5" spans="1:20" x14ac:dyDescent="0.25">
      <c r="A5" s="3"/>
      <c r="B5" s="1">
        <v>0.3</v>
      </c>
      <c r="C5" s="1">
        <v>1240</v>
      </c>
      <c r="D5" s="1"/>
      <c r="E5" s="5">
        <f t="shared" si="0"/>
        <v>42.5</v>
      </c>
      <c r="F5" s="9">
        <f t="shared" si="1"/>
        <v>41.333333333333336</v>
      </c>
      <c r="H5" s="3"/>
      <c r="I5" s="1">
        <v>0.3</v>
      </c>
      <c r="J5" s="5" t="s">
        <v>13</v>
      </c>
      <c r="K5" s="1" t="s">
        <v>12</v>
      </c>
      <c r="L5" s="5">
        <f t="shared" si="2"/>
        <v>42.5</v>
      </c>
      <c r="M5" s="9" t="e">
        <f t="shared" si="3"/>
        <v>#VALUE!</v>
      </c>
      <c r="O5" s="3"/>
      <c r="P5" s="1">
        <v>0.3</v>
      </c>
      <c r="Q5" s="1" t="s">
        <v>13</v>
      </c>
      <c r="R5" s="1" t="s">
        <v>12</v>
      </c>
      <c r="S5" s="1">
        <f t="shared" si="4"/>
        <v>42.5</v>
      </c>
      <c r="T5" s="10" t="e">
        <f t="shared" si="5"/>
        <v>#VALUE!</v>
      </c>
    </row>
    <row r="6" spans="1:20" x14ac:dyDescent="0.25">
      <c r="A6" s="3"/>
      <c r="B6" s="1">
        <v>0.4</v>
      </c>
      <c r="C6" s="1">
        <v>1160</v>
      </c>
      <c r="D6" s="1"/>
      <c r="E6" s="5">
        <f t="shared" si="0"/>
        <v>40</v>
      </c>
      <c r="F6" s="9">
        <f t="shared" si="1"/>
        <v>38.666666666666664</v>
      </c>
      <c r="H6" s="3"/>
      <c r="I6" s="1">
        <v>0.4</v>
      </c>
      <c r="J6" s="5" t="s">
        <v>13</v>
      </c>
      <c r="K6" s="1" t="s">
        <v>12</v>
      </c>
      <c r="L6" s="5">
        <f t="shared" si="2"/>
        <v>40</v>
      </c>
      <c r="M6" s="9" t="e">
        <f t="shared" si="3"/>
        <v>#VALUE!</v>
      </c>
      <c r="O6" s="3"/>
      <c r="P6" s="1">
        <v>0.4</v>
      </c>
      <c r="Q6" s="1" t="s">
        <v>13</v>
      </c>
      <c r="R6" s="1" t="s">
        <v>12</v>
      </c>
      <c r="S6" s="1">
        <f t="shared" si="4"/>
        <v>40</v>
      </c>
      <c r="T6" s="10" t="e">
        <f t="shared" si="5"/>
        <v>#VALUE!</v>
      </c>
    </row>
    <row r="7" spans="1:20" x14ac:dyDescent="0.25">
      <c r="A7" s="3"/>
      <c r="B7" s="1">
        <v>0.5</v>
      </c>
      <c r="C7" s="1">
        <v>1070</v>
      </c>
      <c r="D7" s="1"/>
      <c r="E7" s="5">
        <f t="shared" si="0"/>
        <v>37.5</v>
      </c>
      <c r="F7" s="9">
        <f t="shared" si="1"/>
        <v>35.666666666666664</v>
      </c>
      <c r="H7" s="3"/>
      <c r="I7" s="1">
        <v>0.5</v>
      </c>
      <c r="J7" s="5" t="s">
        <v>13</v>
      </c>
      <c r="K7" s="1" t="s">
        <v>12</v>
      </c>
      <c r="L7" s="5">
        <f t="shared" si="2"/>
        <v>37.5</v>
      </c>
      <c r="M7" s="9" t="e">
        <f t="shared" si="3"/>
        <v>#VALUE!</v>
      </c>
      <c r="O7" s="3"/>
      <c r="P7" s="1">
        <v>0.5</v>
      </c>
      <c r="Q7" s="1" t="s">
        <v>13</v>
      </c>
      <c r="R7" s="1" t="s">
        <v>12</v>
      </c>
      <c r="S7" s="1">
        <f t="shared" si="4"/>
        <v>37.5</v>
      </c>
      <c r="T7" s="10" t="e">
        <f t="shared" si="5"/>
        <v>#VALUE!</v>
      </c>
    </row>
    <row r="8" spans="1:20" x14ac:dyDescent="0.25">
      <c r="A8" s="3"/>
      <c r="B8" s="1">
        <v>0.6</v>
      </c>
      <c r="C8" s="1">
        <v>992</v>
      </c>
      <c r="D8" s="1"/>
      <c r="E8" s="5">
        <f t="shared" si="0"/>
        <v>35</v>
      </c>
      <c r="F8" s="9">
        <f t="shared" si="1"/>
        <v>33.06666666666667</v>
      </c>
      <c r="H8" s="3"/>
      <c r="I8" s="1">
        <v>0.6</v>
      </c>
      <c r="J8" s="5" t="s">
        <v>13</v>
      </c>
      <c r="K8" s="1" t="s">
        <v>12</v>
      </c>
      <c r="L8" s="5">
        <f t="shared" si="2"/>
        <v>35</v>
      </c>
      <c r="M8" s="9" t="e">
        <f t="shared" si="3"/>
        <v>#VALUE!</v>
      </c>
      <c r="O8" s="3"/>
      <c r="P8" s="1">
        <v>0.6</v>
      </c>
      <c r="Q8" s="1" t="s">
        <v>13</v>
      </c>
      <c r="R8" s="1" t="s">
        <v>12</v>
      </c>
      <c r="S8" s="1">
        <f t="shared" si="4"/>
        <v>35</v>
      </c>
      <c r="T8" s="10" t="e">
        <f t="shared" si="5"/>
        <v>#VALUE!</v>
      </c>
    </row>
    <row r="9" spans="1:20" x14ac:dyDescent="0.25">
      <c r="A9" s="3"/>
      <c r="B9" s="1">
        <v>0.7</v>
      </c>
      <c r="C9" s="1">
        <v>912</v>
      </c>
      <c r="D9" s="1"/>
      <c r="E9" s="5">
        <f t="shared" si="0"/>
        <v>32.5</v>
      </c>
      <c r="F9" s="9">
        <f t="shared" si="1"/>
        <v>30.4</v>
      </c>
      <c r="H9" s="3"/>
      <c r="I9" s="1">
        <v>0.7</v>
      </c>
      <c r="J9" s="5" t="s">
        <v>13</v>
      </c>
      <c r="K9" s="1" t="s">
        <v>12</v>
      </c>
      <c r="L9" s="5">
        <f t="shared" si="2"/>
        <v>32.5</v>
      </c>
      <c r="M9" s="9" t="e">
        <f t="shared" si="3"/>
        <v>#VALUE!</v>
      </c>
      <c r="O9" s="3"/>
      <c r="P9" s="1">
        <v>0.7</v>
      </c>
      <c r="Q9" s="1" t="s">
        <v>13</v>
      </c>
      <c r="R9" s="1" t="s">
        <v>12</v>
      </c>
      <c r="S9" s="1">
        <f t="shared" si="4"/>
        <v>32.5</v>
      </c>
      <c r="T9" s="10" t="e">
        <f t="shared" si="5"/>
        <v>#VALUE!</v>
      </c>
    </row>
    <row r="10" spans="1:20" x14ac:dyDescent="0.25">
      <c r="A10" s="3"/>
      <c r="B10" s="1">
        <v>0.8</v>
      </c>
      <c r="C10" s="1">
        <v>840</v>
      </c>
      <c r="D10" s="1"/>
      <c r="E10" s="5">
        <f t="shared" si="0"/>
        <v>30</v>
      </c>
      <c r="F10" s="9">
        <f t="shared" si="1"/>
        <v>28</v>
      </c>
      <c r="H10" s="3"/>
      <c r="I10" s="1">
        <v>0.8</v>
      </c>
      <c r="J10" s="5" t="s">
        <v>13</v>
      </c>
      <c r="K10" s="1" t="s">
        <v>12</v>
      </c>
      <c r="L10" s="5">
        <f t="shared" si="2"/>
        <v>30</v>
      </c>
      <c r="M10" s="9" t="e">
        <f t="shared" si="3"/>
        <v>#VALUE!</v>
      </c>
      <c r="O10" s="3"/>
      <c r="P10" s="1">
        <v>0.8</v>
      </c>
      <c r="Q10" s="1" t="s">
        <v>13</v>
      </c>
      <c r="R10" s="1" t="s">
        <v>12</v>
      </c>
      <c r="S10" s="1">
        <f t="shared" si="4"/>
        <v>30</v>
      </c>
      <c r="T10" s="10" t="e">
        <f t="shared" si="5"/>
        <v>#VALUE!</v>
      </c>
    </row>
    <row r="11" spans="1:20" x14ac:dyDescent="0.25">
      <c r="A11" s="3"/>
      <c r="B11" s="1">
        <v>0.9</v>
      </c>
      <c r="C11" s="1">
        <v>760</v>
      </c>
      <c r="D11" s="1"/>
      <c r="E11" s="5">
        <f t="shared" si="0"/>
        <v>27.500000000000004</v>
      </c>
      <c r="F11" s="9">
        <f t="shared" si="1"/>
        <v>25.333333333333332</v>
      </c>
      <c r="H11" s="3"/>
      <c r="I11" s="1">
        <v>0.9</v>
      </c>
      <c r="J11" s="5">
        <v>7000</v>
      </c>
      <c r="K11" s="1" t="s">
        <v>12</v>
      </c>
      <c r="L11" s="5">
        <f t="shared" si="2"/>
        <v>27.500000000000004</v>
      </c>
      <c r="M11" s="9">
        <f t="shared" si="3"/>
        <v>23.333333333333332</v>
      </c>
      <c r="O11" s="3"/>
      <c r="P11" s="1">
        <v>0.9</v>
      </c>
      <c r="Q11" s="1" t="s">
        <v>13</v>
      </c>
      <c r="R11" s="1" t="s">
        <v>12</v>
      </c>
      <c r="S11" s="1">
        <f t="shared" si="4"/>
        <v>27.500000000000004</v>
      </c>
      <c r="T11" s="10" t="e">
        <f t="shared" si="5"/>
        <v>#VALUE!</v>
      </c>
    </row>
    <row r="12" spans="1:20" x14ac:dyDescent="0.25">
      <c r="A12" s="3"/>
      <c r="B12" s="1">
        <v>1</v>
      </c>
      <c r="C12" s="1">
        <v>672</v>
      </c>
      <c r="D12" s="1"/>
      <c r="E12" s="5">
        <f t="shared" si="0"/>
        <v>25</v>
      </c>
      <c r="F12" s="9">
        <f t="shared" si="1"/>
        <v>22.4</v>
      </c>
      <c r="H12" s="3"/>
      <c r="I12" s="1">
        <v>1</v>
      </c>
      <c r="J12" s="5">
        <v>6440</v>
      </c>
      <c r="K12" s="1"/>
      <c r="L12" s="5">
        <f t="shared" si="2"/>
        <v>25</v>
      </c>
      <c r="M12" s="9">
        <f t="shared" si="3"/>
        <v>21.466666666666665</v>
      </c>
      <c r="O12" s="3"/>
      <c r="P12" s="1">
        <v>1</v>
      </c>
      <c r="Q12" s="1" t="s">
        <v>13</v>
      </c>
      <c r="R12" s="1" t="s">
        <v>12</v>
      </c>
      <c r="S12" s="1">
        <f t="shared" si="4"/>
        <v>25</v>
      </c>
      <c r="T12" s="10" t="e">
        <f t="shared" si="5"/>
        <v>#VALUE!</v>
      </c>
    </row>
    <row r="13" spans="1:20" x14ac:dyDescent="0.25">
      <c r="A13" s="3"/>
      <c r="B13" s="1">
        <v>1.1000000000000001</v>
      </c>
      <c r="C13" s="1">
        <v>600</v>
      </c>
      <c r="D13" s="1"/>
      <c r="E13" s="5">
        <f t="shared" si="0"/>
        <v>22.499999999999996</v>
      </c>
      <c r="F13" s="9">
        <f t="shared" si="1"/>
        <v>20</v>
      </c>
      <c r="H13" s="3"/>
      <c r="I13" s="1">
        <v>1.1000000000000001</v>
      </c>
      <c r="J13" s="5">
        <v>5840</v>
      </c>
      <c r="K13" s="1"/>
      <c r="L13" s="5">
        <f t="shared" si="2"/>
        <v>22.499999999999996</v>
      </c>
      <c r="M13" s="9">
        <f t="shared" si="3"/>
        <v>19.466666666666665</v>
      </c>
      <c r="O13" s="3"/>
      <c r="P13" s="1">
        <v>1.1000000000000001</v>
      </c>
      <c r="Q13" s="1" t="s">
        <v>13</v>
      </c>
      <c r="R13" s="1" t="s">
        <v>12</v>
      </c>
      <c r="S13" s="1">
        <f t="shared" si="4"/>
        <v>22.499999999999996</v>
      </c>
      <c r="T13" s="10" t="e">
        <f t="shared" si="5"/>
        <v>#VALUE!</v>
      </c>
    </row>
    <row r="14" spans="1:20" x14ac:dyDescent="0.25">
      <c r="A14" s="3"/>
      <c r="B14" s="1">
        <v>1.2</v>
      </c>
      <c r="C14" s="1">
        <v>520</v>
      </c>
      <c r="D14" s="1"/>
      <c r="E14" s="5">
        <f t="shared" si="0"/>
        <v>20</v>
      </c>
      <c r="F14" s="9">
        <f t="shared" si="1"/>
        <v>17.333333333333332</v>
      </c>
      <c r="H14" s="3"/>
      <c r="I14" s="1">
        <v>1.2</v>
      </c>
      <c r="J14" s="5">
        <v>5160</v>
      </c>
      <c r="K14" s="1"/>
      <c r="L14" s="5">
        <f t="shared" si="2"/>
        <v>20</v>
      </c>
      <c r="M14" s="9">
        <f t="shared" si="3"/>
        <v>17.2</v>
      </c>
      <c r="O14" s="3"/>
      <c r="P14" s="1">
        <v>1.2</v>
      </c>
      <c r="Q14" s="1" t="s">
        <v>13</v>
      </c>
      <c r="R14" s="1" t="s">
        <v>12</v>
      </c>
      <c r="S14" s="1">
        <f t="shared" si="4"/>
        <v>20</v>
      </c>
      <c r="T14" s="10" t="e">
        <f t="shared" si="5"/>
        <v>#VALUE!</v>
      </c>
    </row>
    <row r="15" spans="1:20" x14ac:dyDescent="0.25">
      <c r="A15" s="3"/>
      <c r="B15" s="1">
        <v>1.3</v>
      </c>
      <c r="C15" s="1">
        <v>460</v>
      </c>
      <c r="D15" s="1"/>
      <c r="E15" s="5">
        <f t="shared" si="0"/>
        <v>17.5</v>
      </c>
      <c r="F15" s="9">
        <f t="shared" si="1"/>
        <v>15.333333333333334</v>
      </c>
      <c r="H15" s="3"/>
      <c r="I15" s="1">
        <v>1.3</v>
      </c>
      <c r="J15" s="5">
        <v>4440</v>
      </c>
      <c r="K15" s="1"/>
      <c r="L15" s="5">
        <f t="shared" si="2"/>
        <v>17.5</v>
      </c>
      <c r="M15" s="9">
        <f t="shared" si="3"/>
        <v>14.8</v>
      </c>
      <c r="O15" s="3"/>
      <c r="P15" s="1">
        <v>1.3</v>
      </c>
      <c r="Q15" s="1" t="s">
        <v>13</v>
      </c>
      <c r="R15" s="1" t="s">
        <v>12</v>
      </c>
      <c r="S15" s="1">
        <f t="shared" si="4"/>
        <v>17.5</v>
      </c>
      <c r="T15" s="10" t="e">
        <f t="shared" si="5"/>
        <v>#VALUE!</v>
      </c>
    </row>
    <row r="16" spans="1:20" x14ac:dyDescent="0.25">
      <c r="A16" s="3"/>
      <c r="B16" s="1">
        <v>1.4</v>
      </c>
      <c r="C16" s="1">
        <v>370</v>
      </c>
      <c r="D16" s="1"/>
      <c r="E16" s="5">
        <f t="shared" si="0"/>
        <v>15.000000000000002</v>
      </c>
      <c r="F16" s="9">
        <f t="shared" si="1"/>
        <v>12.333333333333334</v>
      </c>
      <c r="H16" s="3"/>
      <c r="I16" s="1">
        <v>1.4</v>
      </c>
      <c r="J16" s="5">
        <v>3700</v>
      </c>
      <c r="K16" s="1"/>
      <c r="L16" s="5">
        <f t="shared" si="2"/>
        <v>15.000000000000002</v>
      </c>
      <c r="M16" s="9">
        <f t="shared" si="3"/>
        <v>12.333333333333334</v>
      </c>
      <c r="O16" s="3"/>
      <c r="P16" s="1">
        <v>1.4</v>
      </c>
      <c r="Q16" s="1" t="s">
        <v>13</v>
      </c>
      <c r="R16" s="1" t="s">
        <v>12</v>
      </c>
      <c r="S16" s="1">
        <f t="shared" si="4"/>
        <v>15.000000000000002</v>
      </c>
      <c r="T16" s="10" t="e">
        <f t="shared" si="5"/>
        <v>#VALUE!</v>
      </c>
    </row>
    <row r="17" spans="1:20" x14ac:dyDescent="0.25">
      <c r="A17" s="3"/>
      <c r="B17" s="1">
        <v>1.5</v>
      </c>
      <c r="C17" s="1">
        <v>306</v>
      </c>
      <c r="D17" s="1"/>
      <c r="E17" s="5">
        <f t="shared" si="0"/>
        <v>12.5</v>
      </c>
      <c r="F17" s="9">
        <f t="shared" si="1"/>
        <v>10.199999999999999</v>
      </c>
      <c r="H17" s="3"/>
      <c r="I17" s="1">
        <v>1.5</v>
      </c>
      <c r="J17" s="5">
        <v>3000</v>
      </c>
      <c r="K17" s="1"/>
      <c r="L17" s="5">
        <f t="shared" si="2"/>
        <v>12.5</v>
      </c>
      <c r="M17" s="9">
        <f t="shared" si="3"/>
        <v>10</v>
      </c>
      <c r="O17" s="3"/>
      <c r="P17" s="1">
        <v>1.5</v>
      </c>
      <c r="Q17" s="1" t="s">
        <v>13</v>
      </c>
      <c r="R17" s="1" t="s">
        <v>12</v>
      </c>
      <c r="S17" s="1">
        <f t="shared" si="4"/>
        <v>12.5</v>
      </c>
      <c r="T17" s="10" t="e">
        <f t="shared" si="5"/>
        <v>#VALUE!</v>
      </c>
    </row>
    <row r="18" spans="1:20" x14ac:dyDescent="0.25">
      <c r="A18" s="3"/>
      <c r="B18" s="1">
        <v>1.6</v>
      </c>
      <c r="C18" s="1">
        <v>234</v>
      </c>
      <c r="D18" s="1"/>
      <c r="E18" s="5">
        <f t="shared" si="0"/>
        <v>9.9999999999999982</v>
      </c>
      <c r="F18" s="9">
        <f t="shared" si="1"/>
        <v>7.8</v>
      </c>
      <c r="H18" s="3"/>
      <c r="I18" s="1">
        <v>1.6</v>
      </c>
      <c r="J18" s="5">
        <v>2340</v>
      </c>
      <c r="K18" s="1"/>
      <c r="L18" s="5">
        <f t="shared" si="2"/>
        <v>9.9999999999999982</v>
      </c>
      <c r="M18" s="9">
        <f t="shared" si="3"/>
        <v>7.8</v>
      </c>
      <c r="O18" s="3"/>
      <c r="P18" s="1">
        <v>1.6</v>
      </c>
      <c r="Q18" s="1">
        <v>7000</v>
      </c>
      <c r="R18" s="1" t="s">
        <v>12</v>
      </c>
      <c r="S18" s="1">
        <f t="shared" si="4"/>
        <v>9.9999999999999982</v>
      </c>
      <c r="T18" s="10">
        <f t="shared" si="5"/>
        <v>7</v>
      </c>
    </row>
    <row r="19" spans="1:20" x14ac:dyDescent="0.25">
      <c r="A19" s="3"/>
      <c r="B19" s="1">
        <v>1.7</v>
      </c>
      <c r="C19" s="1">
        <v>164</v>
      </c>
      <c r="D19" s="1"/>
      <c r="E19" s="5">
        <f t="shared" si="0"/>
        <v>7.5000000000000009</v>
      </c>
      <c r="F19" s="9">
        <f t="shared" si="1"/>
        <v>5.4666666666666668</v>
      </c>
      <c r="H19" s="3"/>
      <c r="I19" s="1">
        <v>1.7</v>
      </c>
      <c r="J19" s="5">
        <v>1600</v>
      </c>
      <c r="K19" s="1"/>
      <c r="L19" s="5">
        <f t="shared" si="2"/>
        <v>7.5000000000000009</v>
      </c>
      <c r="M19" s="9">
        <f t="shared" si="3"/>
        <v>5.333333333333333</v>
      </c>
      <c r="O19" s="3"/>
      <c r="P19" s="1">
        <v>1.7</v>
      </c>
      <c r="Q19" s="1">
        <v>5320</v>
      </c>
      <c r="R19" s="1"/>
      <c r="S19" s="1">
        <f t="shared" si="4"/>
        <v>7.5000000000000009</v>
      </c>
      <c r="T19" s="10">
        <f t="shared" si="5"/>
        <v>5.32</v>
      </c>
    </row>
    <row r="20" spans="1:20" x14ac:dyDescent="0.25">
      <c r="A20" s="3"/>
      <c r="B20" s="1">
        <v>1.8</v>
      </c>
      <c r="C20" s="1">
        <v>100</v>
      </c>
      <c r="D20" s="1" t="s">
        <v>11</v>
      </c>
      <c r="E20" s="5">
        <f t="shared" si="0"/>
        <v>4.9999999999999991</v>
      </c>
      <c r="F20" s="9">
        <f t="shared" si="1"/>
        <v>3.3333333333333335</v>
      </c>
      <c r="H20" s="3"/>
      <c r="I20" s="1">
        <v>1.8</v>
      </c>
      <c r="J20" s="5">
        <v>944</v>
      </c>
      <c r="K20" s="1" t="s">
        <v>11</v>
      </c>
      <c r="L20" s="5">
        <f t="shared" si="2"/>
        <v>4.9999999999999991</v>
      </c>
      <c r="M20" s="9">
        <f t="shared" si="3"/>
        <v>3.1466666666666665</v>
      </c>
      <c r="O20" s="3"/>
      <c r="P20" s="1">
        <v>1.8</v>
      </c>
      <c r="Q20" s="1">
        <v>3200</v>
      </c>
      <c r="R20" s="1" t="s">
        <v>11</v>
      </c>
      <c r="S20" s="1">
        <f t="shared" si="4"/>
        <v>4.9999999999999991</v>
      </c>
      <c r="T20" s="10">
        <f t="shared" si="5"/>
        <v>3.2</v>
      </c>
    </row>
    <row r="21" spans="1:20" x14ac:dyDescent="0.25">
      <c r="A21" s="4"/>
      <c r="B21" s="1">
        <v>1.9</v>
      </c>
      <c r="C21" s="1">
        <v>36.799999999999997</v>
      </c>
      <c r="D21" s="1" t="s">
        <v>8</v>
      </c>
      <c r="E21" s="5">
        <f t="shared" si="0"/>
        <v>2.5000000000000022</v>
      </c>
      <c r="F21" s="9">
        <f t="shared" si="1"/>
        <v>1.2266666666666666</v>
      </c>
      <c r="H21" s="4"/>
      <c r="I21" s="1">
        <v>1.9</v>
      </c>
      <c r="J21" s="5">
        <v>304</v>
      </c>
      <c r="K21" s="1" t="s">
        <v>8</v>
      </c>
      <c r="L21" s="5">
        <f t="shared" si="2"/>
        <v>2.5000000000000022</v>
      </c>
      <c r="M21" s="9">
        <f t="shared" si="3"/>
        <v>1.0133333333333334</v>
      </c>
      <c r="O21" s="4"/>
      <c r="P21" s="1">
        <v>1.9</v>
      </c>
      <c r="Q21" s="1">
        <v>1000</v>
      </c>
      <c r="R21" s="1" t="s">
        <v>8</v>
      </c>
      <c r="S21" s="1">
        <f t="shared" si="4"/>
        <v>2.5000000000000022</v>
      </c>
      <c r="T21" s="10">
        <f t="shared" si="5"/>
        <v>1</v>
      </c>
    </row>
  </sheetData>
  <mergeCells count="15">
    <mergeCell ref="T1:T2"/>
    <mergeCell ref="H1:J1"/>
    <mergeCell ref="H3:H21"/>
    <mergeCell ref="M1:M2"/>
    <mergeCell ref="R1:R2"/>
    <mergeCell ref="O3:O21"/>
    <mergeCell ref="O1:Q1"/>
    <mergeCell ref="S1:S2"/>
    <mergeCell ref="D1:D2"/>
    <mergeCell ref="E1:E2"/>
    <mergeCell ref="F1:F2"/>
    <mergeCell ref="K1:K2"/>
    <mergeCell ref="L1:L2"/>
    <mergeCell ref="A1:C1"/>
    <mergeCell ref="A3:A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周余权</dc:creator>
  <cp:lastModifiedBy>余权 周</cp:lastModifiedBy>
  <dcterms:created xsi:type="dcterms:W3CDTF">2015-06-05T18:19:34Z</dcterms:created>
  <dcterms:modified xsi:type="dcterms:W3CDTF">2026-07-12T09:32:45Z</dcterms:modified>
</cp:coreProperties>
</file>